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sapellas-my.sharepoint.com/personal/xparrales_casapellas_com/Documents/AUDITORIAS CAPEX Y PLAZAS/"/>
    </mc:Choice>
  </mc:AlternateContent>
  <xr:revisionPtr revIDLastSave="0" documentId="8_{95A380A5-05AB-41D8-9209-7DBC18B2597E}" xr6:coauthVersionLast="47" xr6:coauthVersionMax="47" xr10:uidLastSave="{00000000-0000-0000-0000-000000000000}"/>
  <bookViews>
    <workbookView xWindow="-28920" yWindow="2835" windowWidth="29040" windowHeight="15720" xr2:uid="{79B8DE5A-5A5A-4F12-A980-1BD70D88FE49}"/>
  </bookViews>
  <sheets>
    <sheet name="Plantilla Capex Supuestos" sheetId="1" r:id="rId1"/>
  </sheets>
  <externalReferences>
    <externalReference r:id="rId2"/>
  </externalReferences>
  <definedNames>
    <definedName name="Lista_Unidades">_xlfn.ANCHORARRAY([1]Auxiliar!$A$2)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7" i="1" l="1"/>
  <c r="E57" i="1"/>
  <c r="I55" i="1"/>
  <c r="H55" i="1"/>
  <c r="G55" i="1"/>
  <c r="F55" i="1"/>
  <c r="E55" i="1"/>
  <c r="I52" i="1"/>
  <c r="H52" i="1"/>
  <c r="G52" i="1"/>
  <c r="F52" i="1"/>
  <c r="E52" i="1"/>
  <c r="D51" i="1"/>
  <c r="E51" i="1" s="1"/>
  <c r="F51" i="1" s="1"/>
  <c r="G51" i="1" s="1"/>
  <c r="H51" i="1" s="1"/>
  <c r="I51" i="1" s="1"/>
  <c r="D47" i="1"/>
  <c r="D46" i="1"/>
  <c r="E46" i="1" s="1"/>
  <c r="F46" i="1" s="1"/>
  <c r="G46" i="1" s="1"/>
  <c r="H46" i="1" s="1"/>
  <c r="I46" i="1" s="1"/>
  <c r="D45" i="1"/>
  <c r="E45" i="1" s="1"/>
  <c r="H38" i="1"/>
  <c r="I57" i="1" s="1"/>
  <c r="G38" i="1"/>
  <c r="H57" i="1" s="1"/>
  <c r="F38" i="1"/>
  <c r="G57" i="1" s="1"/>
  <c r="E38" i="1"/>
  <c r="D38" i="1"/>
  <c r="L35" i="1"/>
  <c r="P27" i="1"/>
  <c r="O27" i="1"/>
  <c r="N27" i="1"/>
  <c r="M27" i="1"/>
  <c r="L27" i="1"/>
  <c r="D14" i="1"/>
  <c r="P4" i="1"/>
  <c r="E47" i="1" l="1"/>
  <c r="F45" i="1"/>
  <c r="D50" i="1"/>
  <c r="E50" i="1" s="1"/>
  <c r="F50" i="1" s="1"/>
  <c r="G50" i="1" s="1"/>
  <c r="H50" i="1" s="1"/>
  <c r="I50" i="1" s="1"/>
  <c r="D49" i="1"/>
  <c r="D53" i="1" l="1"/>
  <c r="D59" i="1" s="1"/>
  <c r="D61" i="1" s="1"/>
  <c r="E49" i="1"/>
  <c r="G45" i="1"/>
  <c r="F47" i="1"/>
  <c r="H45" i="1" l="1"/>
  <c r="G47" i="1"/>
  <c r="F49" i="1"/>
  <c r="E53" i="1"/>
  <c r="E59" i="1" s="1"/>
  <c r="E61" i="1" s="1"/>
  <c r="G49" i="1" l="1"/>
  <c r="F53" i="1"/>
  <c r="F59" i="1" s="1"/>
  <c r="F61" i="1" s="1"/>
  <c r="I45" i="1"/>
  <c r="I47" i="1" s="1"/>
  <c r="H47" i="1"/>
  <c r="G53" i="1" l="1"/>
  <c r="G59" i="1" s="1"/>
  <c r="G61" i="1" s="1"/>
  <c r="H49" i="1"/>
  <c r="I49" i="1" l="1"/>
  <c r="I53" i="1" s="1"/>
  <c r="I59" i="1" s="1"/>
  <c r="I61" i="1" s="1"/>
  <c r="H53" i="1"/>
  <c r="H59" i="1" s="1"/>
  <c r="H61" i="1" s="1"/>
</calcChain>
</file>

<file path=xl/sharedStrings.xml><?xml version="1.0" encoding="utf-8"?>
<sst xmlns="http://schemas.openxmlformats.org/spreadsheetml/2006/main" count="82" uniqueCount="60">
  <si>
    <t>Plantillla de Supuestos para Solicitud de CAPEX</t>
  </si>
  <si>
    <t>Sección 1. Inversión Requerida</t>
  </si>
  <si>
    <t>Fecha:</t>
  </si>
  <si>
    <r>
      <rPr>
        <b/>
        <sz val="12"/>
        <color theme="1"/>
        <rFont val="Calibri"/>
        <family val="2"/>
      </rPr>
      <t>A. Inversión Requerida</t>
    </r>
    <r>
      <rPr>
        <sz val="12"/>
        <color theme="1"/>
        <rFont val="Calibri"/>
        <family val="2"/>
      </rPr>
      <t xml:space="preserve"> </t>
    </r>
    <r>
      <rPr>
        <i/>
        <sz val="12"/>
        <color theme="1"/>
        <rFont val="Calibri"/>
        <family val="2"/>
      </rPr>
      <t>(Complete la columna de Monto por tipo)</t>
    </r>
  </si>
  <si>
    <t>Tipo de Costos</t>
  </si>
  <si>
    <t>Monto en USD</t>
  </si>
  <si>
    <t>Equipos Principales</t>
  </si>
  <si>
    <t>Propiedades e Infraestructura</t>
  </si>
  <si>
    <t>Costos de Instalación/Implementación</t>
  </si>
  <si>
    <t>Capacitación</t>
  </si>
  <si>
    <t>Otros Costos</t>
  </si>
  <si>
    <t>Monto Total USD Requerido</t>
  </si>
  <si>
    <t xml:space="preserve">Sección 2. Proyección de los Beneficios del Proyecto </t>
  </si>
  <si>
    <r>
      <rPr>
        <b/>
        <sz val="12"/>
        <color theme="1"/>
        <rFont val="Calibri"/>
        <family val="2"/>
      </rPr>
      <t>A. Ingresos y Costo</t>
    </r>
    <r>
      <rPr>
        <sz val="12"/>
        <color theme="1"/>
        <rFont val="Calibri"/>
        <family val="2"/>
      </rPr>
      <t xml:space="preserve">  </t>
    </r>
    <r>
      <rPr>
        <i/>
        <sz val="12"/>
        <color theme="1"/>
        <rFont val="Calibri"/>
        <family val="2"/>
      </rPr>
      <t>(Completa los datos del año 0, y  rellena  los % de Crecimiento Proyectados para los 5 años)</t>
    </r>
  </si>
  <si>
    <r>
      <rPr>
        <b/>
        <sz val="12"/>
        <color theme="1"/>
        <rFont val="Calibri"/>
        <family val="2"/>
      </rPr>
      <t>B. Incremento Costos</t>
    </r>
    <r>
      <rPr>
        <sz val="12"/>
        <color theme="1"/>
        <rFont val="Calibri"/>
        <family val="2"/>
      </rPr>
      <t xml:space="preserve"> (</t>
    </r>
    <r>
      <rPr>
        <i/>
        <sz val="12"/>
        <color theme="1"/>
        <rFont val="Aptos Narrow"/>
        <family val="2"/>
        <scheme val="minor"/>
      </rPr>
      <t>Completa los Campos con el Ahorro esperado por año para cada concepto)</t>
    </r>
  </si>
  <si>
    <t>% Crecimiento Proyectado</t>
  </si>
  <si>
    <t>Concepto</t>
  </si>
  <si>
    <t>Año 1</t>
  </si>
  <si>
    <t>Año 2</t>
  </si>
  <si>
    <t>Año 3</t>
  </si>
  <si>
    <t>Año 4</t>
  </si>
  <si>
    <t>Año 5</t>
  </si>
  <si>
    <t>Año 0 (Actual)</t>
  </si>
  <si>
    <t>Personal Adicional</t>
  </si>
  <si>
    <t>Unidades Vendidas</t>
  </si>
  <si>
    <t>Mantenimiento Adicional</t>
  </si>
  <si>
    <t>Ticket Prices</t>
  </si>
  <si>
    <t>Licencias</t>
  </si>
  <si>
    <t>Costo Variable (% crecimiento)</t>
  </si>
  <si>
    <t>Alquileres Adicional</t>
  </si>
  <si>
    <t>% Costo de Venta</t>
  </si>
  <si>
    <t>Energia Adicional</t>
  </si>
  <si>
    <t>Gastos Fijos</t>
  </si>
  <si>
    <t>Total Costos Incrementales</t>
  </si>
  <si>
    <r>
      <rPr>
        <b/>
        <sz val="12"/>
        <color theme="1"/>
        <rFont val="Calibri"/>
        <family val="2"/>
      </rPr>
      <t>C. Ahorros Proyectados</t>
    </r>
    <r>
      <rPr>
        <sz val="12"/>
        <color theme="1"/>
        <rFont val="Calibri"/>
        <family val="2"/>
      </rPr>
      <t xml:space="preserve"> (</t>
    </r>
    <r>
      <rPr>
        <i/>
        <sz val="12"/>
        <color theme="1"/>
        <rFont val="Aptos Narrow"/>
        <family val="2"/>
        <scheme val="minor"/>
      </rPr>
      <t>Completa los Campos con el Ahorro esperado por año para cada concepto)</t>
    </r>
  </si>
  <si>
    <r>
      <t xml:space="preserve">D. Calculo de la Depreciación </t>
    </r>
    <r>
      <rPr>
        <i/>
        <sz val="12"/>
        <color theme="1"/>
        <rFont val="Calibri"/>
        <family val="2"/>
      </rPr>
      <t>(Completa los Campos del Monto que si es depreciable, los
 años de Vida util y el Valor a recuperar)</t>
    </r>
  </si>
  <si>
    <t>Ahorro en Mano de Obra</t>
  </si>
  <si>
    <t>Inversion Depreciable</t>
  </si>
  <si>
    <t>Ahorro en Energia y Servicios</t>
  </si>
  <si>
    <t>Años de Vida Util</t>
  </si>
  <si>
    <t>Ahorro en Mantenimiento</t>
  </si>
  <si>
    <t>Valor Residual</t>
  </si>
  <si>
    <t>Ahorro en Insumos</t>
  </si>
  <si>
    <t>Depreciación Anual Calculada</t>
  </si>
  <si>
    <t>Ahorro en Logistica</t>
  </si>
  <si>
    <t>Otros Ahorros</t>
  </si>
  <si>
    <t>Total Ahorros</t>
  </si>
  <si>
    <t>Sección 3. Utilidad Operativa</t>
  </si>
  <si>
    <t>2. Utilidad Operativa Proyectada en Base a Supuestos</t>
  </si>
  <si>
    <t>Cuentas</t>
  </si>
  <si>
    <t>Unidades Proyectadas</t>
  </si>
  <si>
    <t>Total Ingresos</t>
  </si>
  <si>
    <t>Costo Variable</t>
  </si>
  <si>
    <t>Costo de Venta</t>
  </si>
  <si>
    <t>Depreciación</t>
  </si>
  <si>
    <t>Total Costos Operativos</t>
  </si>
  <si>
    <t>Costos Incrementales</t>
  </si>
  <si>
    <t>Beneficios por Ahorros</t>
  </si>
  <si>
    <t>Proyección de Resultados Operativos</t>
  </si>
  <si>
    <t>Utilidad Operativa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</si>
</sst>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$-540A]#,##0_ ;\-[$$-540A]#,##0\ "/>
    <numFmt numFmtId="165" formatCode="[$$-540A]#,##0.0_ ;\-[$$-540A]#,##0.0\ "/>
    <numFmt numFmtId="166" formatCode="_-* #,##0_-;\-* #,##0_-;_-* &quot;-&quot;??_-;_-@_-"/>
    <numFmt numFmtId="167" formatCode="[$$-540A]#,##0"/>
    <numFmt numFmtId="168" formatCode="_-* #,##0.0_-;\-* #,##0.0_-;_-* &quot;-&quot;??_-;_-@_-"/>
    <numFmt numFmtId="169" formatCode="[$$-540A]#,##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3"/>
      <name val="Calibri"/>
      <family val="2"/>
    </font>
    <font>
      <b/>
      <sz val="14"/>
      <color theme="3" tint="0.249977111117893"/>
      <name val="Calibri"/>
      <family val="2"/>
    </font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3" tint="0.249977111117893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theme="3"/>
      <name val="Calibri"/>
      <family val="2"/>
    </font>
    <font>
      <i/>
      <sz val="12"/>
      <color theme="1"/>
      <name val="Aptos Narrow"/>
      <family val="2"/>
      <scheme val="minor"/>
    </font>
    <font>
      <b/>
      <sz val="12"/>
      <color theme="4" tint="-0.249977111117893"/>
      <name val="Calibri"/>
      <family val="2"/>
    </font>
    <font>
      <b/>
      <sz val="12"/>
      <color theme="6" tint="-0.249977111117893"/>
      <name val="Calibri"/>
      <family val="2"/>
    </font>
    <font>
      <b/>
      <sz val="12"/>
      <color theme="5" tint="-0.249977111117893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B"/>
        <bgColor indexed="64"/>
      </patternFill>
    </fill>
  </fills>
  <borders count="14">
    <border>
      <left/>
      <right/>
      <top/>
      <bottom/>
      <diagonal/>
    </border>
    <border>
      <left style="medium">
        <color theme="3" tint="9.9978637043366805E-2"/>
      </left>
      <right/>
      <top style="medium">
        <color theme="3" tint="9.9978637043366805E-2"/>
      </top>
      <bottom style="medium">
        <color theme="3" tint="9.9978637043366805E-2"/>
      </bottom>
      <diagonal/>
    </border>
    <border>
      <left/>
      <right/>
      <top style="medium">
        <color theme="3" tint="9.9978637043366805E-2"/>
      </top>
      <bottom style="medium">
        <color theme="3" tint="9.9978637043366805E-2"/>
      </bottom>
      <diagonal/>
    </border>
    <border>
      <left/>
      <right style="medium">
        <color theme="3" tint="9.9978637043366805E-2"/>
      </right>
      <top style="medium">
        <color theme="3" tint="9.9978637043366805E-2"/>
      </top>
      <bottom style="medium">
        <color theme="3" tint="9.9978637043366805E-2"/>
      </bottom>
      <diagonal/>
    </border>
    <border>
      <left style="medium">
        <color theme="3" tint="9.9978637043366805E-2"/>
      </left>
      <right/>
      <top/>
      <bottom/>
      <diagonal/>
    </border>
    <border>
      <left/>
      <right style="medium">
        <color theme="3" tint="9.9978637043366805E-2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theme="3" tint="9.9978637043366805E-2"/>
      </left>
      <right/>
      <top/>
      <bottom style="medium">
        <color theme="3" tint="9.9978637043366805E-2"/>
      </bottom>
      <diagonal/>
    </border>
    <border>
      <left/>
      <right/>
      <top/>
      <bottom style="medium">
        <color theme="3" tint="9.9978637043366805E-2"/>
      </bottom>
      <diagonal/>
    </border>
    <border>
      <left/>
      <right style="medium">
        <color theme="3" tint="9.9978637043366805E-2"/>
      </right>
      <top/>
      <bottom style="medium">
        <color theme="3" tint="9.9978637043366805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0" borderId="0" xfId="0" applyFont="1"/>
    <xf numFmtId="0" fontId="4" fillId="0" borderId="0" xfId="0" applyFont="1"/>
    <xf numFmtId="15" fontId="5" fillId="0" borderId="0" xfId="0" applyNumberFormat="1" applyFont="1"/>
    <xf numFmtId="0" fontId="4" fillId="0" borderId="5" xfId="0" applyFont="1" applyBorder="1"/>
    <xf numFmtId="0" fontId="6" fillId="0" borderId="0" xfId="0" applyFont="1"/>
    <xf numFmtId="0" fontId="7" fillId="0" borderId="0" xfId="0" applyFont="1"/>
    <xf numFmtId="0" fontId="10" fillId="3" borderId="6" xfId="0" applyFont="1" applyFill="1" applyBorder="1"/>
    <xf numFmtId="0" fontId="11" fillId="4" borderId="6" xfId="0" applyFont="1" applyFill="1" applyBorder="1" applyAlignment="1">
      <alignment horizontal="center"/>
    </xf>
    <xf numFmtId="0" fontId="7" fillId="0" borderId="6" xfId="0" applyFont="1" applyBorder="1"/>
    <xf numFmtId="164" fontId="8" fillId="0" borderId="6" xfId="1" applyNumberFormat="1" applyFont="1" applyBorder="1"/>
    <xf numFmtId="164" fontId="8" fillId="0" borderId="0" xfId="1" applyNumberFormat="1" applyFont="1" applyBorder="1"/>
    <xf numFmtId="0" fontId="8" fillId="5" borderId="7" xfId="0" applyFont="1" applyFill="1" applyBorder="1"/>
    <xf numFmtId="165" fontId="8" fillId="5" borderId="6" xfId="1" applyNumberFormat="1" applyFont="1" applyFill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164" fontId="7" fillId="0" borderId="6" xfId="1" applyNumberFormat="1" applyFont="1" applyBorder="1"/>
    <xf numFmtId="166" fontId="8" fillId="7" borderId="6" xfId="0" applyNumberFormat="1" applyFont="1" applyFill="1" applyBorder="1" applyAlignment="1">
      <alignment horizontal="right"/>
    </xf>
    <xf numFmtId="9" fontId="7" fillId="0" borderId="6" xfId="0" applyNumberFormat="1" applyFont="1" applyBorder="1" applyAlignment="1">
      <alignment horizontal="center"/>
    </xf>
    <xf numFmtId="165" fontId="7" fillId="0" borderId="6" xfId="1" applyNumberFormat="1" applyFont="1" applyBorder="1"/>
    <xf numFmtId="167" fontId="8" fillId="7" borderId="6" xfId="0" applyNumberFormat="1" applyFont="1" applyFill="1" applyBorder="1" applyAlignment="1">
      <alignment horizontal="right"/>
    </xf>
    <xf numFmtId="9" fontId="8" fillId="7" borderId="6" xfId="0" applyNumberFormat="1" applyFont="1" applyFill="1" applyBorder="1" applyAlignment="1">
      <alignment horizontal="right"/>
    </xf>
    <xf numFmtId="0" fontId="8" fillId="2" borderId="6" xfId="0" applyFont="1" applyFill="1" applyBorder="1"/>
    <xf numFmtId="165" fontId="8" fillId="6" borderId="6" xfId="1" applyNumberFormat="1" applyFont="1" applyFill="1" applyBorder="1"/>
    <xf numFmtId="0" fontId="8" fillId="0" borderId="0" xfId="0" applyFont="1" applyAlignment="1">
      <alignment horizontal="left" wrapText="1"/>
    </xf>
    <xf numFmtId="166" fontId="7" fillId="7" borderId="6" xfId="0" applyNumberFormat="1" applyFont="1" applyFill="1" applyBorder="1" applyAlignment="1">
      <alignment horizontal="right"/>
    </xf>
    <xf numFmtId="0" fontId="8" fillId="6" borderId="6" xfId="0" applyFont="1" applyFill="1" applyBorder="1"/>
    <xf numFmtId="0" fontId="8" fillId="0" borderId="0" xfId="0" applyFont="1"/>
    <xf numFmtId="166" fontId="8" fillId="8" borderId="6" xfId="1" applyNumberFormat="1" applyFont="1" applyFill="1" applyBorder="1"/>
    <xf numFmtId="168" fontId="7" fillId="0" borderId="6" xfId="1" applyNumberFormat="1" applyFont="1" applyBorder="1"/>
    <xf numFmtId="167" fontId="8" fillId="8" borderId="6" xfId="0" applyNumberFormat="1" applyFont="1" applyFill="1" applyBorder="1"/>
    <xf numFmtId="0" fontId="6" fillId="2" borderId="6" xfId="0" applyFont="1" applyFill="1" applyBorder="1"/>
    <xf numFmtId="169" fontId="11" fillId="2" borderId="6" xfId="0" applyNumberFormat="1" applyFont="1" applyFill="1" applyBorder="1"/>
    <xf numFmtId="168" fontId="7" fillId="0" borderId="0" xfId="0" applyNumberFormat="1" applyFont="1"/>
    <xf numFmtId="0" fontId="13" fillId="6" borderId="6" xfId="0" applyFont="1" applyFill="1" applyBorder="1"/>
    <xf numFmtId="0" fontId="8" fillId="0" borderId="6" xfId="0" applyFont="1" applyBorder="1"/>
    <xf numFmtId="165" fontId="8" fillId="0" borderId="6" xfId="1" applyNumberFormat="1" applyFont="1" applyFill="1" applyBorder="1"/>
    <xf numFmtId="0" fontId="14" fillId="2" borderId="6" xfId="0" applyFont="1" applyFill="1" applyBorder="1"/>
    <xf numFmtId="165" fontId="13" fillId="2" borderId="6" xfId="1" applyNumberFormat="1" applyFont="1" applyFill="1" applyBorder="1"/>
    <xf numFmtId="0" fontId="15" fillId="6" borderId="6" xfId="0" applyFont="1" applyFill="1" applyBorder="1"/>
    <xf numFmtId="167" fontId="13" fillId="6" borderId="6" xfId="0" applyNumberFormat="1" applyFont="1" applyFill="1" applyBorder="1"/>
    <xf numFmtId="9" fontId="11" fillId="6" borderId="6" xfId="2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xilia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D100-79C7-4B20-8D9F-2D37F9AA488E}">
  <dimension ref="B1:Q63"/>
  <sheetViews>
    <sheetView showGridLines="0" tabSelected="1" zoomScale="85" zoomScaleNormal="85" workbookViewId="0">
      <selection activeCell="P4" sqref="P4"/>
    </sheetView>
  </sheetViews>
  <sheetFormatPr baseColWidth="10" defaultRowHeight="14.5" x14ac:dyDescent="0.35"/>
  <cols>
    <col min="1" max="1" width="3.7265625" customWidth="1"/>
    <col min="2" max="2" width="4.1796875" customWidth="1"/>
    <col min="3" max="3" width="36.453125" customWidth="1"/>
    <col min="4" max="4" width="14.26953125" customWidth="1"/>
    <col min="5" max="5" width="11.81640625" bestFit="1" customWidth="1"/>
    <col min="6" max="6" width="14" bestFit="1" customWidth="1"/>
    <col min="7" max="7" width="12.54296875" customWidth="1"/>
    <col min="8" max="8" width="13" bestFit="1" customWidth="1"/>
    <col min="9" max="9" width="14.453125" customWidth="1"/>
    <col min="10" max="10" width="5.26953125" customWidth="1"/>
    <col min="11" max="11" width="25.453125" customWidth="1"/>
    <col min="12" max="16" width="11" bestFit="1" customWidth="1"/>
    <col min="17" max="17" width="3.36328125" customWidth="1"/>
  </cols>
  <sheetData>
    <row r="1" spans="2:17" ht="8" customHeight="1" thickBot="1" x14ac:dyDescent="0.4"/>
    <row r="2" spans="2:17" ht="26.5" thickBot="1" x14ac:dyDescent="0.6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35">
      <c r="B3" s="4"/>
      <c r="Q3" s="5"/>
    </row>
    <row r="4" spans="2:17" ht="18.5" x14ac:dyDescent="0.45">
      <c r="B4" s="4"/>
      <c r="C4" s="6" t="s">
        <v>1</v>
      </c>
      <c r="D4" s="7"/>
      <c r="E4" s="7"/>
      <c r="F4" s="7"/>
      <c r="G4" s="7"/>
      <c r="J4" s="7"/>
      <c r="K4" s="7"/>
      <c r="L4" s="7"/>
      <c r="M4" s="7"/>
      <c r="N4" s="7"/>
      <c r="O4" s="6" t="s">
        <v>2</v>
      </c>
      <c r="P4" s="8">
        <f ca="1">+TODAY()</f>
        <v>46224</v>
      </c>
      <c r="Q4" s="9"/>
    </row>
    <row r="5" spans="2:17" ht="16" x14ac:dyDescent="0.4">
      <c r="B5" s="4"/>
      <c r="C5" s="10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9"/>
    </row>
    <row r="6" spans="2:17" ht="16" x14ac:dyDescent="0.4">
      <c r="B6" s="4"/>
      <c r="C6" s="11" t="s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9"/>
    </row>
    <row r="7" spans="2:17" ht="16" x14ac:dyDescent="0.4">
      <c r="B7" s="4"/>
      <c r="C7" s="12" t="s">
        <v>4</v>
      </c>
      <c r="D7" s="13" t="s">
        <v>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9"/>
    </row>
    <row r="8" spans="2:17" ht="16" x14ac:dyDescent="0.4">
      <c r="B8" s="4"/>
      <c r="C8" s="14" t="s">
        <v>6</v>
      </c>
      <c r="D8" s="1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9"/>
    </row>
    <row r="9" spans="2:17" ht="16" x14ac:dyDescent="0.4">
      <c r="B9" s="4"/>
      <c r="C9" s="14" t="s">
        <v>7</v>
      </c>
      <c r="D9" s="15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9"/>
    </row>
    <row r="10" spans="2:17" ht="16" x14ac:dyDescent="0.4">
      <c r="B10" s="4"/>
      <c r="C10" s="14" t="s">
        <v>8</v>
      </c>
      <c r="D10" s="1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9"/>
    </row>
    <row r="11" spans="2:17" ht="16" x14ac:dyDescent="0.4">
      <c r="B11" s="4"/>
      <c r="C11" s="14" t="s">
        <v>9</v>
      </c>
      <c r="D11" s="15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2:17" ht="16" x14ac:dyDescent="0.4">
      <c r="B12" s="4"/>
      <c r="C12" s="14" t="s">
        <v>10</v>
      </c>
      <c r="D12" s="15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9"/>
    </row>
    <row r="13" spans="2:17" ht="16" x14ac:dyDescent="0.4">
      <c r="B13" s="4"/>
      <c r="C13" s="11"/>
      <c r="D13" s="1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9"/>
    </row>
    <row r="14" spans="2:17" ht="16" x14ac:dyDescent="0.4">
      <c r="B14" s="4"/>
      <c r="C14" s="17" t="s">
        <v>11</v>
      </c>
      <c r="D14" s="18">
        <f>+SUM(D8:D12)</f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9"/>
    </row>
    <row r="15" spans="2:17" ht="16" x14ac:dyDescent="0.4"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9"/>
    </row>
    <row r="16" spans="2:17" ht="18.5" x14ac:dyDescent="0.45">
      <c r="B16" s="4"/>
      <c r="C16" s="6" t="s">
        <v>12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9"/>
    </row>
    <row r="17" spans="2:17" ht="16" x14ac:dyDescent="0.4">
      <c r="B17" s="4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9"/>
    </row>
    <row r="18" spans="2:17" ht="31" customHeight="1" x14ac:dyDescent="0.4">
      <c r="B18" s="4"/>
      <c r="C18" s="19" t="s">
        <v>13</v>
      </c>
      <c r="D18" s="11"/>
      <c r="E18" s="11"/>
      <c r="F18" s="11"/>
      <c r="G18" s="11"/>
      <c r="H18" s="11"/>
      <c r="I18" s="11"/>
      <c r="J18" s="7"/>
      <c r="K18" s="20" t="s">
        <v>14</v>
      </c>
      <c r="L18" s="20"/>
      <c r="M18" s="20"/>
      <c r="N18" s="20"/>
      <c r="O18" s="20"/>
      <c r="P18" s="20"/>
      <c r="Q18" s="9"/>
    </row>
    <row r="19" spans="2:17" ht="16" x14ac:dyDescent="0.4">
      <c r="B19" s="4"/>
      <c r="C19" s="11"/>
      <c r="D19" s="11"/>
      <c r="E19" s="11"/>
      <c r="F19" s="11"/>
      <c r="G19" s="11"/>
      <c r="H19" s="11"/>
      <c r="I19" s="11"/>
      <c r="J19" s="7"/>
      <c r="K19" s="7"/>
      <c r="L19" s="7"/>
      <c r="M19" s="7"/>
      <c r="N19" s="7"/>
      <c r="O19" s="7"/>
      <c r="P19" s="7"/>
      <c r="Q19" s="9"/>
    </row>
    <row r="20" spans="2:17" ht="16" x14ac:dyDescent="0.4">
      <c r="B20" s="4"/>
      <c r="C20" s="11"/>
      <c r="D20" s="7"/>
      <c r="E20" s="21" t="s">
        <v>15</v>
      </c>
      <c r="F20" s="22"/>
      <c r="G20" s="22"/>
      <c r="H20" s="22"/>
      <c r="I20" s="23"/>
      <c r="J20" s="7"/>
      <c r="K20" s="24" t="s">
        <v>16</v>
      </c>
      <c r="L20" s="25" t="s">
        <v>17</v>
      </c>
      <c r="M20" s="25" t="s">
        <v>18</v>
      </c>
      <c r="N20" s="25" t="s">
        <v>19</v>
      </c>
      <c r="O20" s="25" t="s">
        <v>20</v>
      </c>
      <c r="P20" s="25" t="s">
        <v>21</v>
      </c>
      <c r="Q20" s="9"/>
    </row>
    <row r="21" spans="2:17" ht="16" x14ac:dyDescent="0.4">
      <c r="B21" s="4"/>
      <c r="C21" s="12" t="s">
        <v>16</v>
      </c>
      <c r="D21" s="13" t="s">
        <v>22</v>
      </c>
      <c r="E21" s="25" t="s">
        <v>17</v>
      </c>
      <c r="F21" s="25" t="s">
        <v>18</v>
      </c>
      <c r="G21" s="25" t="s">
        <v>19</v>
      </c>
      <c r="H21" s="25" t="s">
        <v>20</v>
      </c>
      <c r="I21" s="25" t="s">
        <v>21</v>
      </c>
      <c r="J21" s="7"/>
      <c r="K21" s="14" t="s">
        <v>23</v>
      </c>
      <c r="L21" s="26"/>
      <c r="M21" s="26"/>
      <c r="N21" s="26"/>
      <c r="O21" s="26"/>
      <c r="P21" s="26"/>
      <c r="Q21" s="9"/>
    </row>
    <row r="22" spans="2:17" ht="16" x14ac:dyDescent="0.4">
      <c r="B22" s="4"/>
      <c r="C22" s="14" t="s">
        <v>24</v>
      </c>
      <c r="D22" s="27"/>
      <c r="E22" s="28"/>
      <c r="F22" s="28"/>
      <c r="G22" s="28"/>
      <c r="H22" s="28"/>
      <c r="I22" s="28"/>
      <c r="J22" s="7"/>
      <c r="K22" s="14" t="s">
        <v>25</v>
      </c>
      <c r="L22" s="29"/>
      <c r="M22" s="29"/>
      <c r="N22" s="29"/>
      <c r="O22" s="29"/>
      <c r="P22" s="29"/>
      <c r="Q22" s="9"/>
    </row>
    <row r="23" spans="2:17" ht="16" x14ac:dyDescent="0.4">
      <c r="B23" s="4"/>
      <c r="C23" s="14" t="s">
        <v>26</v>
      </c>
      <c r="D23" s="30"/>
      <c r="E23" s="28"/>
      <c r="F23" s="28"/>
      <c r="G23" s="28"/>
      <c r="H23" s="28"/>
      <c r="I23" s="28"/>
      <c r="J23" s="7"/>
      <c r="K23" s="14" t="s">
        <v>27</v>
      </c>
      <c r="L23" s="29"/>
      <c r="M23" s="29"/>
      <c r="N23" s="29"/>
      <c r="O23" s="29"/>
      <c r="P23" s="29"/>
      <c r="Q23" s="9"/>
    </row>
    <row r="24" spans="2:17" ht="16" x14ac:dyDescent="0.4">
      <c r="B24" s="4"/>
      <c r="C24" s="14" t="s">
        <v>28</v>
      </c>
      <c r="D24" s="31"/>
      <c r="E24" s="28"/>
      <c r="F24" s="28"/>
      <c r="G24" s="28"/>
      <c r="H24" s="28"/>
      <c r="I24" s="28"/>
      <c r="J24" s="7"/>
      <c r="K24" s="14" t="s">
        <v>29</v>
      </c>
      <c r="L24" s="29"/>
      <c r="M24" s="29"/>
      <c r="N24" s="29"/>
      <c r="O24" s="29"/>
      <c r="P24" s="29"/>
      <c r="Q24" s="9"/>
    </row>
    <row r="25" spans="2:17" ht="16" x14ac:dyDescent="0.4">
      <c r="B25" s="4"/>
      <c r="C25" s="14" t="s">
        <v>30</v>
      </c>
      <c r="D25" s="31"/>
      <c r="E25" s="28"/>
      <c r="F25" s="28"/>
      <c r="G25" s="28"/>
      <c r="H25" s="28"/>
      <c r="I25" s="28"/>
      <c r="J25" s="7"/>
      <c r="K25" s="14" t="s">
        <v>31</v>
      </c>
      <c r="L25" s="29"/>
      <c r="M25" s="29"/>
      <c r="N25" s="29"/>
      <c r="O25" s="29"/>
      <c r="P25" s="29"/>
      <c r="Q25" s="9"/>
    </row>
    <row r="26" spans="2:17" ht="16" x14ac:dyDescent="0.4">
      <c r="B26" s="4"/>
      <c r="C26" s="14" t="s">
        <v>32</v>
      </c>
      <c r="D26" s="27"/>
      <c r="E26" s="28"/>
      <c r="F26" s="28"/>
      <c r="G26" s="28"/>
      <c r="H26" s="28"/>
      <c r="I26" s="28"/>
      <c r="J26" s="7"/>
      <c r="K26" s="14" t="s">
        <v>10</v>
      </c>
      <c r="L26" s="29"/>
      <c r="M26" s="29"/>
      <c r="N26" s="29"/>
      <c r="O26" s="29"/>
      <c r="P26" s="29"/>
      <c r="Q26" s="9"/>
    </row>
    <row r="27" spans="2:17" ht="16" x14ac:dyDescent="0.4">
      <c r="B27" s="4"/>
      <c r="C27" s="7"/>
      <c r="D27" s="7"/>
      <c r="E27" s="7"/>
      <c r="F27" s="7"/>
      <c r="G27" s="7"/>
      <c r="H27" s="7"/>
      <c r="I27" s="7"/>
      <c r="J27" s="7"/>
      <c r="K27" s="32" t="s">
        <v>33</v>
      </c>
      <c r="L27" s="33">
        <f>SUM(L21:L26)</f>
        <v>0</v>
      </c>
      <c r="M27" s="33">
        <f t="shared" ref="M27:P27" si="0">SUM(M21:M26)</f>
        <v>0</v>
      </c>
      <c r="N27" s="33">
        <f t="shared" si="0"/>
        <v>0</v>
      </c>
      <c r="O27" s="33">
        <f t="shared" si="0"/>
        <v>0</v>
      </c>
      <c r="P27" s="33">
        <f t="shared" si="0"/>
        <v>0</v>
      </c>
      <c r="Q27" s="9"/>
    </row>
    <row r="28" spans="2:17" ht="16" x14ac:dyDescent="0.4">
      <c r="B28" s="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9"/>
    </row>
    <row r="29" spans="2:17" ht="32" customHeight="1" x14ac:dyDescent="0.4">
      <c r="B29" s="4"/>
      <c r="C29" s="19" t="s">
        <v>34</v>
      </c>
      <c r="D29" s="7"/>
      <c r="E29" s="7"/>
      <c r="F29" s="7"/>
      <c r="G29" s="7"/>
      <c r="H29" s="7"/>
      <c r="I29" s="7"/>
      <c r="J29" s="7"/>
      <c r="K29" s="34" t="s">
        <v>35</v>
      </c>
      <c r="L29" s="34"/>
      <c r="M29" s="34"/>
      <c r="N29" s="34"/>
      <c r="O29" s="34"/>
      <c r="P29" s="34"/>
      <c r="Q29" s="9"/>
    </row>
    <row r="30" spans="2:17" ht="16" x14ac:dyDescent="0.4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9"/>
    </row>
    <row r="31" spans="2:17" ht="16" x14ac:dyDescent="0.4">
      <c r="B31" s="4"/>
      <c r="C31" s="24" t="s">
        <v>16</v>
      </c>
      <c r="D31" s="25" t="s">
        <v>17</v>
      </c>
      <c r="E31" s="25" t="s">
        <v>18</v>
      </c>
      <c r="F31" s="25" t="s">
        <v>19</v>
      </c>
      <c r="G31" s="25" t="s">
        <v>20</v>
      </c>
      <c r="H31" s="25" t="s">
        <v>21</v>
      </c>
      <c r="I31" s="7"/>
      <c r="J31" s="7"/>
      <c r="K31" s="24" t="s">
        <v>16</v>
      </c>
      <c r="L31" s="25"/>
      <c r="M31" s="7"/>
      <c r="N31" s="7"/>
      <c r="O31" s="7"/>
      <c r="P31" s="7"/>
      <c r="Q31" s="9"/>
    </row>
    <row r="32" spans="2:17" ht="16" x14ac:dyDescent="0.4">
      <c r="B32" s="4"/>
      <c r="C32" s="14" t="s">
        <v>36</v>
      </c>
      <c r="D32" s="26"/>
      <c r="E32" s="26"/>
      <c r="F32" s="26"/>
      <c r="G32" s="26"/>
      <c r="H32" s="26"/>
      <c r="I32" s="7"/>
      <c r="J32" s="7"/>
      <c r="K32" s="14" t="s">
        <v>37</v>
      </c>
      <c r="L32" s="26"/>
      <c r="M32" s="7"/>
      <c r="N32" s="7"/>
      <c r="O32" s="7"/>
      <c r="P32" s="7"/>
      <c r="Q32" s="9"/>
    </row>
    <row r="33" spans="2:17" ht="16" x14ac:dyDescent="0.4">
      <c r="B33" s="4"/>
      <c r="C33" s="14" t="s">
        <v>38</v>
      </c>
      <c r="D33" s="29"/>
      <c r="E33" s="29"/>
      <c r="F33" s="29"/>
      <c r="G33" s="29"/>
      <c r="H33" s="29"/>
      <c r="I33" s="7"/>
      <c r="J33" s="7"/>
      <c r="K33" s="14" t="s">
        <v>39</v>
      </c>
      <c r="L33" s="35"/>
      <c r="M33" s="7"/>
      <c r="N33" s="7"/>
      <c r="O33" s="7"/>
      <c r="P33" s="7"/>
      <c r="Q33" s="9"/>
    </row>
    <row r="34" spans="2:17" ht="16" x14ac:dyDescent="0.4">
      <c r="B34" s="4"/>
      <c r="C34" s="14" t="s">
        <v>40</v>
      </c>
      <c r="D34" s="29"/>
      <c r="E34" s="29"/>
      <c r="F34" s="29"/>
      <c r="G34" s="29"/>
      <c r="H34" s="29"/>
      <c r="I34" s="7"/>
      <c r="J34" s="7"/>
      <c r="K34" s="14" t="s">
        <v>41</v>
      </c>
      <c r="L34" s="26"/>
      <c r="M34" s="7"/>
      <c r="N34" s="7"/>
      <c r="O34" s="7"/>
      <c r="P34" s="7"/>
      <c r="Q34" s="9"/>
    </row>
    <row r="35" spans="2:17" ht="16" x14ac:dyDescent="0.4">
      <c r="B35" s="4"/>
      <c r="C35" s="14" t="s">
        <v>42</v>
      </c>
      <c r="D35" s="29"/>
      <c r="E35" s="29"/>
      <c r="F35" s="29"/>
      <c r="G35" s="29"/>
      <c r="H35" s="29"/>
      <c r="I35" s="7"/>
      <c r="J35" s="7"/>
      <c r="K35" s="36" t="s">
        <v>43</v>
      </c>
      <c r="L35" s="33" t="e">
        <f>+($L$32-$L$34)/$L$33</f>
        <v>#DIV/0!</v>
      </c>
      <c r="M35" s="7"/>
      <c r="N35" s="7"/>
      <c r="O35" s="7"/>
      <c r="P35" s="7"/>
      <c r="Q35" s="9"/>
    </row>
    <row r="36" spans="2:17" ht="16" x14ac:dyDescent="0.4">
      <c r="B36" s="4"/>
      <c r="C36" s="14" t="s">
        <v>44</v>
      </c>
      <c r="D36" s="29"/>
      <c r="E36" s="29"/>
      <c r="F36" s="29"/>
      <c r="G36" s="29"/>
      <c r="H36" s="29"/>
      <c r="I36" s="7"/>
      <c r="J36" s="7"/>
      <c r="K36" s="7"/>
      <c r="L36" s="7"/>
      <c r="M36" s="7"/>
      <c r="N36" s="7"/>
      <c r="O36" s="7"/>
      <c r="P36" s="7"/>
      <c r="Q36" s="9"/>
    </row>
    <row r="37" spans="2:17" ht="16" x14ac:dyDescent="0.4">
      <c r="B37" s="4"/>
      <c r="C37" s="14" t="s">
        <v>45</v>
      </c>
      <c r="D37" s="29"/>
      <c r="E37" s="29"/>
      <c r="F37" s="29"/>
      <c r="G37" s="29"/>
      <c r="H37" s="29"/>
      <c r="I37" s="7"/>
      <c r="J37" s="7"/>
      <c r="K37" s="7"/>
      <c r="L37" s="7"/>
      <c r="M37" s="7"/>
      <c r="N37" s="7"/>
      <c r="O37" s="7"/>
      <c r="P37" s="7"/>
      <c r="Q37" s="9"/>
    </row>
    <row r="38" spans="2:17" ht="16" x14ac:dyDescent="0.4">
      <c r="B38" s="4"/>
      <c r="C38" s="32" t="s">
        <v>46</v>
      </c>
      <c r="D38" s="33">
        <f>SUM(D32:D37)</f>
        <v>0</v>
      </c>
      <c r="E38" s="33">
        <f t="shared" ref="E38:H38" si="1">SUM(E32:E37)</f>
        <v>0</v>
      </c>
      <c r="F38" s="33">
        <f t="shared" si="1"/>
        <v>0</v>
      </c>
      <c r="G38" s="33">
        <f t="shared" si="1"/>
        <v>0</v>
      </c>
      <c r="H38" s="33">
        <f t="shared" si="1"/>
        <v>0</v>
      </c>
      <c r="I38" s="7"/>
      <c r="J38" s="7"/>
      <c r="K38" s="7"/>
      <c r="L38" s="7"/>
      <c r="M38" s="7"/>
      <c r="N38" s="7"/>
      <c r="O38" s="7"/>
      <c r="P38" s="7"/>
      <c r="Q38" s="9"/>
    </row>
    <row r="39" spans="2:17" ht="16" x14ac:dyDescent="0.4">
      <c r="B39" s="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9"/>
    </row>
    <row r="40" spans="2:17" ht="16" x14ac:dyDescent="0.4">
      <c r="B40" s="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9"/>
    </row>
    <row r="41" spans="2:17" ht="18.5" x14ac:dyDescent="0.45">
      <c r="B41" s="4"/>
      <c r="C41" s="6" t="s">
        <v>47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9"/>
    </row>
    <row r="42" spans="2:17" ht="16" x14ac:dyDescent="0.4">
      <c r="B42" s="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9"/>
    </row>
    <row r="43" spans="2:17" ht="16" x14ac:dyDescent="0.4">
      <c r="B43" s="4"/>
      <c r="C43" s="37" t="s">
        <v>48</v>
      </c>
      <c r="D43" s="11"/>
      <c r="E43" s="11"/>
      <c r="F43" s="11"/>
      <c r="G43" s="11"/>
      <c r="H43" s="11"/>
      <c r="I43" s="11"/>
      <c r="J43" s="7"/>
      <c r="K43" s="7"/>
      <c r="L43" s="7"/>
      <c r="M43" s="7"/>
      <c r="N43" s="7"/>
      <c r="O43" s="7"/>
      <c r="P43" s="7"/>
      <c r="Q43" s="9"/>
    </row>
    <row r="44" spans="2:17" ht="16" x14ac:dyDescent="0.4">
      <c r="B44" s="4"/>
      <c r="C44" s="12" t="s">
        <v>49</v>
      </c>
      <c r="D44" s="13" t="s">
        <v>22</v>
      </c>
      <c r="E44" s="25" t="s">
        <v>17</v>
      </c>
      <c r="F44" s="25" t="s">
        <v>18</v>
      </c>
      <c r="G44" s="25" t="s">
        <v>19</v>
      </c>
      <c r="H44" s="25" t="s">
        <v>20</v>
      </c>
      <c r="I44" s="25" t="s">
        <v>21</v>
      </c>
      <c r="J44" s="7"/>
      <c r="K44" s="7"/>
      <c r="L44" s="7"/>
      <c r="M44" s="7"/>
      <c r="N44" s="7"/>
      <c r="O44" s="7"/>
      <c r="P44" s="7"/>
      <c r="Q44" s="9"/>
    </row>
    <row r="45" spans="2:17" ht="16" x14ac:dyDescent="0.4">
      <c r="B45" s="4"/>
      <c r="C45" s="14" t="s">
        <v>50</v>
      </c>
      <c r="D45" s="38">
        <f>+D22</f>
        <v>0</v>
      </c>
      <c r="E45" s="39">
        <f t="shared" ref="E45:I46" si="2">+(D45*(1+E22))</f>
        <v>0</v>
      </c>
      <c r="F45" s="39">
        <f t="shared" si="2"/>
        <v>0</v>
      </c>
      <c r="G45" s="39">
        <f t="shared" si="2"/>
        <v>0</v>
      </c>
      <c r="H45" s="39">
        <f t="shared" si="2"/>
        <v>0</v>
      </c>
      <c r="I45" s="39">
        <f t="shared" si="2"/>
        <v>0</v>
      </c>
      <c r="J45" s="7"/>
      <c r="K45" s="7"/>
      <c r="L45" s="7"/>
      <c r="M45" s="7"/>
      <c r="N45" s="7"/>
      <c r="O45" s="7"/>
      <c r="P45" s="7"/>
      <c r="Q45" s="9"/>
    </row>
    <row r="46" spans="2:17" ht="16" x14ac:dyDescent="0.4">
      <c r="B46" s="4"/>
      <c r="C46" s="14" t="s">
        <v>26</v>
      </c>
      <c r="D46" s="40">
        <f>+D23</f>
        <v>0</v>
      </c>
      <c r="E46" s="29">
        <f t="shared" si="2"/>
        <v>0</v>
      </c>
      <c r="F46" s="29">
        <f t="shared" si="2"/>
        <v>0</v>
      </c>
      <c r="G46" s="29">
        <f t="shared" si="2"/>
        <v>0</v>
      </c>
      <c r="H46" s="29">
        <f t="shared" si="2"/>
        <v>0</v>
      </c>
      <c r="I46" s="29">
        <f t="shared" si="2"/>
        <v>0</v>
      </c>
      <c r="J46" s="7"/>
      <c r="K46" s="7"/>
      <c r="L46" s="7"/>
      <c r="M46" s="7"/>
      <c r="N46" s="7"/>
      <c r="O46" s="7"/>
      <c r="P46" s="7"/>
      <c r="Q46" s="9"/>
    </row>
    <row r="47" spans="2:17" ht="16" x14ac:dyDescent="0.4">
      <c r="B47" s="4"/>
      <c r="C47" s="41" t="s">
        <v>51</v>
      </c>
      <c r="D47" s="42">
        <f>+D45*D46</f>
        <v>0</v>
      </c>
      <c r="E47" s="42">
        <f t="shared" ref="E47:I47" si="3">+E45*E46</f>
        <v>0</v>
      </c>
      <c r="F47" s="42">
        <f t="shared" si="3"/>
        <v>0</v>
      </c>
      <c r="G47" s="42">
        <f t="shared" si="3"/>
        <v>0</v>
      </c>
      <c r="H47" s="42">
        <f t="shared" si="3"/>
        <v>0</v>
      </c>
      <c r="I47" s="42">
        <f t="shared" si="3"/>
        <v>0</v>
      </c>
      <c r="J47" s="7"/>
      <c r="K47" s="7"/>
      <c r="L47" s="7"/>
      <c r="M47" s="7"/>
      <c r="N47" s="7"/>
      <c r="O47" s="7"/>
      <c r="P47" s="7"/>
      <c r="Q47" s="9"/>
    </row>
    <row r="48" spans="2:17" ht="16" x14ac:dyDescent="0.4">
      <c r="B48" s="4"/>
      <c r="C48" s="11"/>
      <c r="D48" s="11"/>
      <c r="E48" s="43"/>
      <c r="F48" s="43"/>
      <c r="G48" s="43"/>
      <c r="H48" s="43"/>
      <c r="I48" s="43"/>
      <c r="J48" s="7"/>
      <c r="K48" s="7"/>
      <c r="L48" s="7"/>
      <c r="M48" s="7"/>
      <c r="N48" s="7"/>
      <c r="O48" s="7"/>
      <c r="P48" s="7"/>
      <c r="Q48" s="9"/>
    </row>
    <row r="49" spans="2:17" ht="16" x14ac:dyDescent="0.4">
      <c r="B49" s="4"/>
      <c r="C49" s="14" t="s">
        <v>52</v>
      </c>
      <c r="D49" s="40">
        <f>+D24*D47</f>
        <v>0</v>
      </c>
      <c r="E49" s="29">
        <f t="shared" ref="E49:I51" si="4">+(D49*(1+E24))</f>
        <v>0</v>
      </c>
      <c r="F49" s="29">
        <f t="shared" si="4"/>
        <v>0</v>
      </c>
      <c r="G49" s="29">
        <f t="shared" si="4"/>
        <v>0</v>
      </c>
      <c r="H49" s="29">
        <f t="shared" si="4"/>
        <v>0</v>
      </c>
      <c r="I49" s="29">
        <f t="shared" si="4"/>
        <v>0</v>
      </c>
      <c r="J49" s="7"/>
      <c r="K49" s="7"/>
      <c r="L49" s="7"/>
      <c r="M49" s="7"/>
      <c r="N49" s="7"/>
      <c r="O49" s="7"/>
      <c r="P49" s="7"/>
      <c r="Q49" s="9"/>
    </row>
    <row r="50" spans="2:17" ht="16" x14ac:dyDescent="0.4">
      <c r="B50" s="4"/>
      <c r="C50" s="14" t="s">
        <v>53</v>
      </c>
      <c r="D50" s="40">
        <f>+D25*D47</f>
        <v>0</v>
      </c>
      <c r="E50" s="29">
        <f t="shared" si="4"/>
        <v>0</v>
      </c>
      <c r="F50" s="29">
        <f t="shared" si="4"/>
        <v>0</v>
      </c>
      <c r="G50" s="29">
        <f t="shared" si="4"/>
        <v>0</v>
      </c>
      <c r="H50" s="29">
        <f t="shared" si="4"/>
        <v>0</v>
      </c>
      <c r="I50" s="29">
        <f t="shared" si="4"/>
        <v>0</v>
      </c>
      <c r="J50" s="7"/>
      <c r="K50" s="7"/>
      <c r="L50" s="7"/>
      <c r="M50" s="7"/>
      <c r="N50" s="7"/>
      <c r="O50" s="7"/>
      <c r="P50" s="7"/>
      <c r="Q50" s="9"/>
    </row>
    <row r="51" spans="2:17" ht="16" x14ac:dyDescent="0.4">
      <c r="B51" s="4"/>
      <c r="C51" s="14" t="s">
        <v>32</v>
      </c>
      <c r="D51" s="40">
        <f>+D26</f>
        <v>0</v>
      </c>
      <c r="E51" s="29">
        <f t="shared" si="4"/>
        <v>0</v>
      </c>
      <c r="F51" s="29">
        <f t="shared" si="4"/>
        <v>0</v>
      </c>
      <c r="G51" s="29">
        <f t="shared" si="4"/>
        <v>0</v>
      </c>
      <c r="H51" s="29">
        <f t="shared" si="4"/>
        <v>0</v>
      </c>
      <c r="I51" s="29">
        <f t="shared" si="4"/>
        <v>0</v>
      </c>
      <c r="J51" s="7"/>
      <c r="K51" s="7"/>
      <c r="L51" s="7"/>
      <c r="M51" s="7"/>
      <c r="N51" s="7"/>
      <c r="O51" s="7"/>
      <c r="P51" s="7"/>
      <c r="Q51" s="9"/>
    </row>
    <row r="52" spans="2:17" ht="16" x14ac:dyDescent="0.4">
      <c r="B52" s="4"/>
      <c r="C52" s="14" t="s">
        <v>54</v>
      </c>
      <c r="D52" s="40"/>
      <c r="E52" s="29" t="e">
        <f>+($L$32-$L$34)/$L$33</f>
        <v>#DIV/0!</v>
      </c>
      <c r="F52" s="29" t="e">
        <f>+($L$32-$L$34)/$L$33</f>
        <v>#DIV/0!</v>
      </c>
      <c r="G52" s="29" t="e">
        <f>+($L$32-$L$34)/$L$33</f>
        <v>#DIV/0!</v>
      </c>
      <c r="H52" s="29" t="e">
        <f>+($L$32-$L$34)/$L$33</f>
        <v>#DIV/0!</v>
      </c>
      <c r="I52" s="29" t="e">
        <f>+($L$32-$L$34)/$L$33</f>
        <v>#DIV/0!</v>
      </c>
      <c r="J52" s="7"/>
      <c r="K52" s="7"/>
      <c r="L52" s="7"/>
      <c r="M52" s="7"/>
      <c r="N52" s="7"/>
      <c r="O52" s="7"/>
      <c r="P52" s="7"/>
      <c r="Q52" s="9"/>
    </row>
    <row r="53" spans="2:17" ht="16" x14ac:dyDescent="0.4">
      <c r="B53" s="4"/>
      <c r="C53" s="44" t="s">
        <v>55</v>
      </c>
      <c r="D53" s="42">
        <f>SUM(D49:D52)</f>
        <v>0</v>
      </c>
      <c r="E53" s="42" t="e">
        <f>+SUM(E49:E52)</f>
        <v>#DIV/0!</v>
      </c>
      <c r="F53" s="42" t="e">
        <f t="shared" ref="F53:I53" si="5">+SUM(F49:F52)</f>
        <v>#DIV/0!</v>
      </c>
      <c r="G53" s="42" t="e">
        <f t="shared" si="5"/>
        <v>#DIV/0!</v>
      </c>
      <c r="H53" s="42" t="e">
        <f t="shared" si="5"/>
        <v>#DIV/0!</v>
      </c>
      <c r="I53" s="42" t="e">
        <f t="shared" si="5"/>
        <v>#DIV/0!</v>
      </c>
      <c r="J53" s="7"/>
      <c r="K53" s="7"/>
      <c r="L53" s="7"/>
      <c r="M53" s="7"/>
      <c r="N53" s="7"/>
      <c r="O53" s="7"/>
      <c r="P53" s="7"/>
      <c r="Q53" s="9"/>
    </row>
    <row r="54" spans="2:17" ht="16" x14ac:dyDescent="0.4">
      <c r="B54" s="4"/>
      <c r="C54" s="45"/>
      <c r="D54" s="46"/>
      <c r="E54" s="46"/>
      <c r="F54" s="46"/>
      <c r="G54" s="46"/>
      <c r="H54" s="46"/>
      <c r="I54" s="46"/>
      <c r="J54" s="7"/>
      <c r="K54" s="7"/>
      <c r="L54" s="7"/>
      <c r="M54" s="7"/>
      <c r="N54" s="7"/>
      <c r="O54" s="7"/>
      <c r="P54" s="7"/>
      <c r="Q54" s="9"/>
    </row>
    <row r="55" spans="2:17" ht="16" x14ac:dyDescent="0.4">
      <c r="B55" s="4"/>
      <c r="C55" s="47" t="s">
        <v>56</v>
      </c>
      <c r="D55" s="48"/>
      <c r="E55" s="42">
        <f>+L27</f>
        <v>0</v>
      </c>
      <c r="F55" s="42">
        <f t="shared" ref="F55:I55" si="6">+M27</f>
        <v>0</v>
      </c>
      <c r="G55" s="42">
        <f t="shared" si="6"/>
        <v>0</v>
      </c>
      <c r="H55" s="42">
        <f t="shared" si="6"/>
        <v>0</v>
      </c>
      <c r="I55" s="42">
        <f t="shared" si="6"/>
        <v>0</v>
      </c>
      <c r="J55" s="7"/>
      <c r="K55" s="7"/>
      <c r="L55" s="7"/>
      <c r="M55" s="7"/>
      <c r="N55" s="7"/>
      <c r="O55" s="7"/>
      <c r="P55" s="7"/>
      <c r="Q55" s="9"/>
    </row>
    <row r="56" spans="2:17" ht="16" x14ac:dyDescent="0.4">
      <c r="B56" s="4"/>
      <c r="C56" s="45"/>
      <c r="D56" s="46"/>
      <c r="E56" s="46"/>
      <c r="F56" s="46"/>
      <c r="G56" s="46"/>
      <c r="H56" s="46"/>
      <c r="I56" s="46"/>
      <c r="J56" s="7"/>
      <c r="K56" s="7"/>
      <c r="L56" s="7"/>
      <c r="M56" s="7"/>
      <c r="N56" s="7"/>
      <c r="O56" s="7"/>
      <c r="P56" s="7"/>
      <c r="Q56" s="9"/>
    </row>
    <row r="57" spans="2:17" ht="16" x14ac:dyDescent="0.4">
      <c r="B57" s="4"/>
      <c r="C57" s="49" t="s">
        <v>57</v>
      </c>
      <c r="D57" s="50"/>
      <c r="E57" s="42">
        <f>+D38</f>
        <v>0</v>
      </c>
      <c r="F57" s="42">
        <f>+E38</f>
        <v>0</v>
      </c>
      <c r="G57" s="42">
        <f>+F38</f>
        <v>0</v>
      </c>
      <c r="H57" s="42">
        <f>+G38</f>
        <v>0</v>
      </c>
      <c r="I57" s="42">
        <f>+H38</f>
        <v>0</v>
      </c>
      <c r="J57" s="7"/>
      <c r="K57" s="7"/>
      <c r="L57" s="7"/>
      <c r="M57" s="7"/>
      <c r="N57" s="7"/>
      <c r="O57" s="7"/>
      <c r="P57" s="7"/>
      <c r="Q57" s="9"/>
    </row>
    <row r="58" spans="2:17" ht="16" x14ac:dyDescent="0.4">
      <c r="B58" s="4"/>
      <c r="C58" s="11"/>
      <c r="D58" s="11"/>
      <c r="E58" s="11"/>
      <c r="F58" s="11"/>
      <c r="G58" s="11"/>
      <c r="H58" s="11"/>
      <c r="I58" s="11"/>
      <c r="J58" s="7"/>
      <c r="K58" s="7"/>
      <c r="L58" s="7"/>
      <c r="M58" s="7"/>
      <c r="N58" s="7"/>
      <c r="O58" s="7"/>
      <c r="P58" s="7"/>
      <c r="Q58" s="9"/>
    </row>
    <row r="59" spans="2:17" ht="16" x14ac:dyDescent="0.4">
      <c r="B59" s="4"/>
      <c r="C59" s="44" t="s">
        <v>58</v>
      </c>
      <c r="D59" s="42">
        <f>+D47-D53+D57</f>
        <v>0</v>
      </c>
      <c r="E59" s="42" t="e">
        <f>+E47-E53-E55+E57</f>
        <v>#DIV/0!</v>
      </c>
      <c r="F59" s="42" t="e">
        <f t="shared" ref="F59:I59" si="7">+F47-F53-F55+F57</f>
        <v>#DIV/0!</v>
      </c>
      <c r="G59" s="42" t="e">
        <f t="shared" si="7"/>
        <v>#DIV/0!</v>
      </c>
      <c r="H59" s="42" t="e">
        <f t="shared" si="7"/>
        <v>#DIV/0!</v>
      </c>
      <c r="I59" s="42" t="e">
        <f t="shared" si="7"/>
        <v>#DIV/0!</v>
      </c>
      <c r="J59" s="7"/>
      <c r="K59" s="7"/>
      <c r="L59" s="7"/>
      <c r="M59" s="7"/>
      <c r="N59" s="7"/>
      <c r="O59" s="7"/>
      <c r="P59" s="7"/>
      <c r="Q59" s="9"/>
    </row>
    <row r="60" spans="2:17" ht="16" x14ac:dyDescent="0.4">
      <c r="B60" s="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9"/>
    </row>
    <row r="61" spans="2:17" ht="16" x14ac:dyDescent="0.4">
      <c r="B61" s="4"/>
      <c r="C61" s="44" t="s">
        <v>59</v>
      </c>
      <c r="D61" s="51" t="e">
        <f t="shared" ref="D61:I61" si="8">+D59/D47</f>
        <v>#DIV/0!</v>
      </c>
      <c r="E61" s="51" t="e">
        <f t="shared" si="8"/>
        <v>#DIV/0!</v>
      </c>
      <c r="F61" s="51" t="e">
        <f t="shared" si="8"/>
        <v>#DIV/0!</v>
      </c>
      <c r="G61" s="51" t="e">
        <f t="shared" si="8"/>
        <v>#DIV/0!</v>
      </c>
      <c r="H61" s="51" t="e">
        <f t="shared" si="8"/>
        <v>#DIV/0!</v>
      </c>
      <c r="I61" s="51" t="e">
        <f t="shared" si="8"/>
        <v>#DIV/0!</v>
      </c>
      <c r="J61" s="7"/>
      <c r="K61" s="7"/>
      <c r="L61" s="7"/>
      <c r="M61" s="7"/>
      <c r="N61" s="7"/>
      <c r="O61" s="7"/>
      <c r="P61" s="7"/>
      <c r="Q61" s="9"/>
    </row>
    <row r="62" spans="2:17" x14ac:dyDescent="0.35">
      <c r="B62" s="4"/>
      <c r="Q62" s="5"/>
    </row>
    <row r="63" spans="2:17" ht="15" thickBot="1" x14ac:dyDescent="0.4">
      <c r="B63" s="52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4"/>
    </row>
  </sheetData>
  <mergeCells count="4">
    <mergeCell ref="B2:Q2"/>
    <mergeCell ref="K18:P18"/>
    <mergeCell ref="E20:I20"/>
    <mergeCell ref="K29:P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Capex Supuestos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Parrales Rodriguez</dc:creator>
  <cp:lastModifiedBy>Xiomara Parrales Rodriguez</cp:lastModifiedBy>
  <dcterms:created xsi:type="dcterms:W3CDTF">2026-07-21T16:47:42Z</dcterms:created>
  <dcterms:modified xsi:type="dcterms:W3CDTF">2026-07-21T16:48:37Z</dcterms:modified>
</cp:coreProperties>
</file>